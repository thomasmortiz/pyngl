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Audit_Tools\src\"/>
    </mc:Choice>
  </mc:AlternateContent>
  <xr:revisionPtr revIDLastSave="0" documentId="13_ncr:1_{0A712777-9F4B-486A-8D58-453EC596487A}" xr6:coauthVersionLast="36" xr6:coauthVersionMax="36" xr10:uidLastSave="{00000000-0000-0000-0000-000000000000}"/>
  <bookViews>
    <workbookView xWindow="0" yWindow="0" windowWidth="24795" windowHeight="11220" activeTab="1" xr2:uid="{00000000-000D-0000-FFFF-FFFF00000000}"/>
  </bookViews>
  <sheets>
    <sheet name="Processed Gas" sheetId="1" r:id="rId1"/>
    <sheet name="Crude Oil Flash" sheetId="2" r:id="rId2"/>
  </sheets>
  <functionGroups builtInGroupCount="19">
    <functionGroup name="xlwings"/>
  </functionGroups>
  <calcPr calcId="191029" iterate="1"/>
  <extLst>
    <ext xmlns:x14="http://schemas.microsoft.com/office/spreadsheetml/2009/9/main" uri="{8193D73E-4604-4355-AFF4-8A2333D13BE4}">
      <x14:definedNames>
        <x14:definedName name="compressibility_factor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flash_t_p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  <x14:definedName name="gas_shrinkage_volume_from_recovered_liquid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gas_shrinkage_volume_of_recovered_liquid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ideal_gas_dry_heating_valu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ideal_gas_heating_valu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liquid_shrinkage_energy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liquid_shrinkage_volum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lant_inlet_gas_energy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real_gas_dry_heating_valu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real_residue_gas_dry_heating_valu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residue_compressibility_factor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residue_gas_energy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residue_gas_volum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4" i="2" l="1"/>
  <c r="H13" i="2"/>
  <c r="G14" i="2"/>
  <c r="G13" i="2"/>
  <c r="F14" i="2"/>
  <c r="F13" i="2"/>
  <c r="E13" i="2"/>
  <c r="E14" i="2"/>
  <c r="K6" i="2" a="1"/>
  <c r="K6" i="2" l="1"/>
  <c r="K7" i="2"/>
  <c r="B31" i="2"/>
  <c r="B24" i="1" l="1"/>
  <c r="I20" i="1"/>
  <c r="H15" i="1"/>
  <c r="H8" i="1"/>
  <c r="H10" i="1"/>
  <c r="H24" i="1"/>
  <c r="I19" i="1"/>
  <c r="E12" i="1"/>
  <c r="H18" i="1"/>
  <c r="I16" i="1"/>
  <c r="H16" i="1"/>
  <c r="H28" i="1"/>
  <c r="I15" i="1"/>
  <c r="H20" i="1"/>
  <c r="H17" i="1"/>
  <c r="H27" i="1"/>
  <c r="H6" i="1"/>
  <c r="H11" i="1"/>
  <c r="H21" i="1"/>
  <c r="E11" i="1"/>
  <c r="H29" i="1"/>
  <c r="H26" i="1"/>
  <c r="H30" i="1"/>
  <c r="I18" i="1"/>
  <c r="I21" i="1"/>
  <c r="H19" i="1"/>
  <c r="H9" i="1"/>
  <c r="I17" i="1"/>
  <c r="L30" i="1" l="1"/>
  <c r="L15" i="1"/>
  <c r="L29" i="1" s="1"/>
  <c r="L23" i="1"/>
  <c r="L22" i="1"/>
  <c r="L25" i="1" s="1"/>
  <c r="H25" i="1"/>
  <c r="L7" i="1"/>
  <c r="L12" i="1"/>
  <c r="L10" i="1"/>
  <c r="L6" i="1"/>
  <c r="L8" i="1"/>
  <c r="L9" i="1"/>
  <c r="L11" i="1"/>
  <c r="L13" i="1"/>
  <c r="H7" i="1"/>
  <c r="L28" i="1" l="1"/>
  <c r="L14" i="1"/>
</calcChain>
</file>

<file path=xl/sharedStrings.xml><?xml version="1.0" encoding="utf-8"?>
<sst xmlns="http://schemas.openxmlformats.org/spreadsheetml/2006/main" count="173" uniqueCount="120">
  <si>
    <t>Mole Fraction</t>
  </si>
  <si>
    <t>Pressure (psia)</t>
  </si>
  <si>
    <t>Temperature (F)</t>
  </si>
  <si>
    <t>Total</t>
  </si>
  <si>
    <t>Real Gas Heating Value (Btu/ft3)</t>
  </si>
  <si>
    <t>Real Gas Heating Value Net of H2S (Btu/ft3)</t>
  </si>
  <si>
    <t>gal</t>
  </si>
  <si>
    <t>MMBtu</t>
  </si>
  <si>
    <t>methane</t>
  </si>
  <si>
    <t>ethane</t>
  </si>
  <si>
    <t>propane</t>
  </si>
  <si>
    <t>i_butane</t>
  </si>
  <si>
    <t>n_butane</t>
  </si>
  <si>
    <t>i_pentane</t>
  </si>
  <si>
    <t>n_pentane</t>
  </si>
  <si>
    <t>hexane_plus</t>
  </si>
  <si>
    <t>hydrogen_sulfide</t>
  </si>
  <si>
    <t>carbon_dioxide</t>
  </si>
  <si>
    <t>nitrogen</t>
  </si>
  <si>
    <t>oxygen</t>
  </si>
  <si>
    <t>helium</t>
  </si>
  <si>
    <t>Compound</t>
  </si>
  <si>
    <t>Volume (Mcf)</t>
  </si>
  <si>
    <t>Compressibility Factor (-)</t>
  </si>
  <si>
    <t>Plant Inlet Gas Input Data</t>
  </si>
  <si>
    <t>Plant Inlet Gas Properties (Dry Basis)</t>
  </si>
  <si>
    <t>NGL Shrinkage</t>
  </si>
  <si>
    <t>Recovery Factor</t>
  </si>
  <si>
    <t>Plant Inlet Gas Energy (MMBtu)</t>
  </si>
  <si>
    <t>Residue Gas Energy (MMBtu)</t>
  </si>
  <si>
    <t>Processed Gas Properties (Dry Basis)</t>
  </si>
  <si>
    <t>Residue Gas Volume (Mcf)</t>
  </si>
  <si>
    <t>natural_gasoline</t>
  </si>
  <si>
    <t>residue</t>
  </si>
  <si>
    <t>$/gal</t>
  </si>
  <si>
    <t>$/MMBtu</t>
  </si>
  <si>
    <t>Btu Factor</t>
  </si>
  <si>
    <t>Valuation</t>
  </si>
  <si>
    <t>Residue Gas Energy Net of H2S (MMBtu)</t>
  </si>
  <si>
    <t>Plant Inlet Gas Energy Net of H2S (MMBtu)</t>
  </si>
  <si>
    <t>Notes</t>
  </si>
  <si>
    <t>GLO Unit Number</t>
  </si>
  <si>
    <t>Plant Statement Date</t>
  </si>
  <si>
    <t>RRC Lease ID</t>
  </si>
  <si>
    <t>Texas General Land Office</t>
  </si>
  <si>
    <t>Internal Use Only</t>
  </si>
  <si>
    <t>Residue Gas Properties (Dry Basis)</t>
  </si>
  <si>
    <t>Analysis Date</t>
  </si>
  <si>
    <t>Processed Gas Valuation Analysis</t>
  </si>
  <si>
    <t>Lessee</t>
  </si>
  <si>
    <t>Keep Whole Gross Value</t>
  </si>
  <si>
    <t>Deductions</t>
  </si>
  <si>
    <t>GLO NRI %</t>
  </si>
  <si>
    <t>GLO Liquids POP%</t>
  </si>
  <si>
    <t>GLO Residue POP%</t>
  </si>
  <si>
    <t>Adjusted Pricing [1]</t>
  </si>
  <si>
    <t>Allowable Plant Fuel %</t>
  </si>
  <si>
    <t>Total Deductions</t>
  </si>
  <si>
    <t>carbon_black</t>
  </si>
  <si>
    <t>elemental_sulfur</t>
  </si>
  <si>
    <t>sulfuric_acid</t>
  </si>
  <si>
    <t>$/Mcf</t>
  </si>
  <si>
    <t>Additional Products</t>
  </si>
  <si>
    <t>GLO MF Number</t>
  </si>
  <si>
    <t>Mcf</t>
  </si>
  <si>
    <t>lbm</t>
  </si>
  <si>
    <t>$/lbm</t>
  </si>
  <si>
    <t>metric ton</t>
  </si>
  <si>
    <t>$/metric ton</t>
  </si>
  <si>
    <t>Available Additional Product Value</t>
  </si>
  <si>
    <t>Available</t>
  </si>
  <si>
    <t>[1] Enter all prices net of any allowed fees (T&amp;F, marketing, etc.)</t>
  </si>
  <si>
    <t>Processed Value</t>
  </si>
  <si>
    <t>GLO Share of Keep Whole Value</t>
  </si>
  <si>
    <t>Net Value</t>
  </si>
  <si>
    <t>Fuel Valued on Inlet Basis</t>
  </si>
  <si>
    <t>Fuel Valued on Residue Basis</t>
  </si>
  <si>
    <t>Net GLO Share of Processed Value [2]</t>
  </si>
  <si>
    <t>[2] Net of allowed deductions, including minimum fuel valuation</t>
  </si>
  <si>
    <t>Processing Fee ($/Inlet MMBtu)</t>
  </si>
  <si>
    <t>y_grade_liquid</t>
  </si>
  <si>
    <t>Crude Oil Flash Calculator</t>
  </si>
  <si>
    <t>Volume (bbl)</t>
  </si>
  <si>
    <t>Crude Oil Input Data</t>
  </si>
  <si>
    <t>Flash Conditions</t>
  </si>
  <si>
    <t>T1 (F)</t>
  </si>
  <si>
    <t>T2 (F)</t>
  </si>
  <si>
    <t>Methane</t>
  </si>
  <si>
    <t>Ethane</t>
  </si>
  <si>
    <t>Propane</t>
  </si>
  <si>
    <t>Isobutane</t>
  </si>
  <si>
    <t>N-butane</t>
  </si>
  <si>
    <t>Isopentane</t>
  </si>
  <si>
    <t>N-pentane</t>
  </si>
  <si>
    <t>N-hexane</t>
  </si>
  <si>
    <t>Hydrogen sulfide</t>
  </si>
  <si>
    <t>Carbon dioxide</t>
  </si>
  <si>
    <t>Nitrogen</t>
  </si>
  <si>
    <t>Oxygen</t>
  </si>
  <si>
    <t>Heptane plus</t>
  </si>
  <si>
    <t>Heptane plus Molecular Weight</t>
  </si>
  <si>
    <t>Heptane plus Specific Gravity</t>
  </si>
  <si>
    <t>Heptane plus Average Boiling Point (F)</t>
  </si>
  <si>
    <t>Flash Results</t>
  </si>
  <si>
    <t>Oil Volume (bbl)</t>
  </si>
  <si>
    <r>
      <rPr>
        <sz val="11"/>
        <color theme="1"/>
        <rFont val="Symbol"/>
        <family val="1"/>
        <charset val="2"/>
      </rPr>
      <t>n</t>
    </r>
    <r>
      <rPr>
        <sz val="11"/>
        <color theme="1"/>
        <rFont val="Calibri"/>
        <family val="2"/>
        <scheme val="minor"/>
      </rPr>
      <t>1 (ft2/s)</t>
    </r>
  </si>
  <si>
    <r>
      <rPr>
        <sz val="11"/>
        <color theme="1"/>
        <rFont val="Symbol"/>
        <family val="1"/>
        <charset val="2"/>
      </rPr>
      <t>n</t>
    </r>
    <r>
      <rPr>
        <sz val="11"/>
        <color theme="1"/>
        <rFont val="Calibri"/>
        <family val="2"/>
        <scheme val="minor"/>
      </rPr>
      <t>2 (ft2/s)</t>
    </r>
  </si>
  <si>
    <t>Kinematic Viscosity Curve Data</t>
  </si>
  <si>
    <t>Helium-4</t>
  </si>
  <si>
    <t>Stage 1</t>
  </si>
  <si>
    <t>Stage 2</t>
  </si>
  <si>
    <t>Stage 3</t>
  </si>
  <si>
    <t>Stage 4</t>
  </si>
  <si>
    <t>From Pressure (psia)</t>
  </si>
  <si>
    <t>From Temperature (F)</t>
  </si>
  <si>
    <t>To Pressure (psia)</t>
  </si>
  <si>
    <t>To Temperature (F)</t>
  </si>
  <si>
    <t>Standard Pressure (psia)</t>
  </si>
  <si>
    <t>Standard Temperature (F)</t>
  </si>
  <si>
    <t>Gas Volume (Mscf)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</si>
</sst>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&quot;$&quot;#,##0.00"/>
    <numFmt numFmtId="166" formatCode="0.0000%"/>
    <numFmt numFmtId="167" formatCode="#,##0.000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164" fontId="0" fillId="0" borderId="0" xfId="0" applyNumberFormat="1" applyFill="1" applyProtection="1">
      <protection hidden="1"/>
    </xf>
    <xf numFmtId="164" fontId="0" fillId="2" borderId="0" xfId="0" applyNumberFormat="1" applyFill="1" applyProtection="1">
      <protection hidden="1"/>
    </xf>
    <xf numFmtId="164" fontId="0" fillId="0" borderId="0" xfId="0" applyNumberFormat="1" applyFill="1" applyBorder="1" applyAlignment="1" applyProtection="1">
      <alignment wrapText="1"/>
      <protection hidden="1"/>
    </xf>
    <xf numFmtId="164" fontId="2" fillId="0" borderId="0" xfId="0" applyNumberFormat="1" applyFont="1" applyFill="1" applyBorder="1" applyAlignment="1" applyProtection="1">
      <alignment wrapText="1"/>
      <protection hidden="1"/>
    </xf>
    <xf numFmtId="164" fontId="0" fillId="0" borderId="0" xfId="0" applyNumberFormat="1" applyFont="1" applyFill="1" applyAlignment="1" applyProtection="1">
      <alignment wrapText="1"/>
      <protection hidden="1"/>
    </xf>
    <xf numFmtId="164" fontId="1" fillId="0" borderId="0" xfId="0" applyNumberFormat="1" applyFont="1" applyFill="1" applyBorder="1" applyAlignment="1" applyProtection="1">
      <alignment wrapText="1"/>
      <protection hidden="1"/>
    </xf>
    <xf numFmtId="164" fontId="1" fillId="0" borderId="0" xfId="0" applyNumberFormat="1" applyFont="1"/>
    <xf numFmtId="164" fontId="0" fillId="0" borderId="0" xfId="0" applyNumberFormat="1"/>
    <xf numFmtId="164" fontId="0" fillId="0" borderId="0" xfId="0" applyNumberFormat="1" applyFont="1"/>
    <xf numFmtId="164" fontId="0" fillId="2" borderId="0" xfId="0" applyNumberFormat="1" applyFill="1"/>
    <xf numFmtId="2" fontId="0" fillId="0" borderId="0" xfId="0" applyNumberFormat="1"/>
    <xf numFmtId="2" fontId="1" fillId="0" borderId="0" xfId="0" applyNumberFormat="1" applyFont="1"/>
    <xf numFmtId="165" fontId="0" fillId="0" borderId="0" xfId="0" applyNumberFormat="1"/>
    <xf numFmtId="165" fontId="0" fillId="2" borderId="0" xfId="0" applyNumberFormat="1" applyFill="1"/>
    <xf numFmtId="14" fontId="0" fillId="2" borderId="0" xfId="0" applyNumberFormat="1" applyFill="1"/>
    <xf numFmtId="164" fontId="1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166" fontId="0" fillId="2" borderId="0" xfId="0" applyNumberFormat="1" applyFill="1"/>
    <xf numFmtId="166" fontId="0" fillId="2" borderId="0" xfId="0" applyNumberFormat="1" applyFont="1" applyFill="1"/>
    <xf numFmtId="167" fontId="0" fillId="2" borderId="0" xfId="0" applyNumberFormat="1" applyFill="1"/>
    <xf numFmtId="164" fontId="0" fillId="0" borderId="0" xfId="0" applyNumberFormat="1" applyFont="1" applyFill="1"/>
    <xf numFmtId="164" fontId="1" fillId="0" borderId="0" xfId="0" applyNumberFormat="1" applyFont="1" applyFill="1"/>
    <xf numFmtId="164" fontId="0" fillId="0" borderId="0" xfId="0" applyNumberFormat="1" applyFill="1"/>
    <xf numFmtId="2" fontId="1" fillId="0" borderId="0" xfId="0" applyNumberFormat="1" applyFont="1" applyFill="1"/>
    <xf numFmtId="165" fontId="0" fillId="0" borderId="0" xfId="0" applyNumberFormat="1" applyFill="1"/>
    <xf numFmtId="2" fontId="0" fillId="0" borderId="0" xfId="0" applyNumberFormat="1" applyFill="1"/>
    <xf numFmtId="166" fontId="0" fillId="0" borderId="0" xfId="0" applyNumberFormat="1" applyFill="1"/>
    <xf numFmtId="166" fontId="0" fillId="0" borderId="0" xfId="0" applyNumberFormat="1" applyFont="1" applyFill="1"/>
    <xf numFmtId="167" fontId="0" fillId="0" borderId="0" xfId="0" applyNumberFormat="1" applyFill="1"/>
    <xf numFmtId="164" fontId="6" fillId="0" borderId="0" xfId="0" applyNumberFormat="1" applyFont="1"/>
    <xf numFmtId="14" fontId="0" fillId="0" borderId="0" xfId="0" applyNumberFormat="1" applyFill="1"/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123825</xdr:rowOff>
        </xdr:from>
        <xdr:to>
          <xdr:col>2</xdr:col>
          <xdr:colOff>19050</xdr:colOff>
          <xdr:row>25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123825</xdr:rowOff>
        </xdr:from>
        <xdr:to>
          <xdr:col>2</xdr:col>
          <xdr:colOff>19050</xdr:colOff>
          <xdr:row>32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4"/>
  <sheetViews>
    <sheetView workbookViewId="0">
      <selection activeCell="G31" sqref="G31"/>
    </sheetView>
  </sheetViews>
  <sheetFormatPr defaultRowHeight="15"/>
  <cols>
    <col min="1" max="1" width="24.140625" style="8" customWidth="1"/>
    <col min="2" max="2" width="13.28515625" style="8" bestFit="1" customWidth="1"/>
    <col min="3" max="3" width="15.140625" style="8" bestFit="1" customWidth="1"/>
    <col min="4" max="4" width="18.28515625" style="8" customWidth="1"/>
    <col min="5" max="5" width="12.85546875" style="8" customWidth="1"/>
    <col min="6" max="6" width="14.5703125" style="8" customWidth="1"/>
    <col min="7" max="7" width="40.140625" style="8" bestFit="1" customWidth="1"/>
    <col min="8" max="8" width="12" style="8" customWidth="1"/>
    <col min="9" max="9" width="13" style="11" customWidth="1"/>
    <col min="10" max="10" width="4.42578125" style="13" customWidth="1"/>
    <col min="11" max="11" width="33.28515625" style="8" customWidth="1"/>
    <col min="12" max="12" width="24.7109375" style="8" customWidth="1"/>
    <col min="13" max="13" width="14" style="8" bestFit="1" customWidth="1"/>
    <col min="14" max="16384" width="9.140625" style="8"/>
  </cols>
  <sheetData>
    <row r="1" spans="1:12">
      <c r="A1" s="8" t="s">
        <v>43</v>
      </c>
      <c r="B1" s="10"/>
      <c r="G1" s="16" t="s">
        <v>48</v>
      </c>
      <c r="I1" s="8"/>
      <c r="J1" s="8"/>
      <c r="K1" s="8" t="s">
        <v>49</v>
      </c>
      <c r="L1" s="14"/>
    </row>
    <row r="2" spans="1:12">
      <c r="A2" s="8" t="s">
        <v>63</v>
      </c>
      <c r="B2" s="10"/>
      <c r="G2" s="16" t="s">
        <v>44</v>
      </c>
      <c r="I2" s="8"/>
      <c r="J2" s="8"/>
      <c r="K2" s="11" t="s">
        <v>47</v>
      </c>
      <c r="L2" s="15"/>
    </row>
    <row r="3" spans="1:12">
      <c r="A3" s="8" t="s">
        <v>41</v>
      </c>
      <c r="B3" s="10"/>
      <c r="G3" s="17" t="s">
        <v>45</v>
      </c>
      <c r="I3" s="8"/>
      <c r="J3" s="8"/>
      <c r="K3" s="11" t="s">
        <v>42</v>
      </c>
      <c r="L3" s="15"/>
    </row>
    <row r="5" spans="1:12">
      <c r="A5" s="7" t="s">
        <v>24</v>
      </c>
      <c r="G5" s="6" t="s">
        <v>25</v>
      </c>
      <c r="I5" s="8"/>
      <c r="J5" s="8"/>
      <c r="K5" s="12" t="s">
        <v>37</v>
      </c>
      <c r="L5" s="13"/>
    </row>
    <row r="6" spans="1:12">
      <c r="A6" s="1" t="s">
        <v>1</v>
      </c>
      <c r="B6" s="2">
        <v>14.65</v>
      </c>
      <c r="G6" s="8" t="s">
        <v>4</v>
      </c>
      <c r="H6" s="8">
        <f>real_gas_dry_heating_value(A11:A23,B11:B23,C11:C23,B6,B7,B8)</f>
        <v>1176.3471950923054</v>
      </c>
      <c r="I6" s="8"/>
      <c r="J6" s="8"/>
      <c r="K6" s="3" t="s">
        <v>9</v>
      </c>
      <c r="L6" s="13">
        <f>H15*B28</f>
        <v>1941.4183582740247</v>
      </c>
    </row>
    <row r="7" spans="1:12">
      <c r="A7" s="1" t="s">
        <v>2</v>
      </c>
      <c r="B7" s="2">
        <v>60</v>
      </c>
      <c r="G7" s="8" t="s">
        <v>36</v>
      </c>
      <c r="H7" s="8">
        <f>H6/1000</f>
        <v>1.1763471950923055</v>
      </c>
      <c r="I7" s="8"/>
      <c r="J7" s="8"/>
      <c r="K7" s="3" t="s">
        <v>10</v>
      </c>
      <c r="L7" s="13">
        <f>H16*B29</f>
        <v>7886.2874682911088</v>
      </c>
    </row>
    <row r="8" spans="1:12">
      <c r="A8" s="1" t="s">
        <v>22</v>
      </c>
      <c r="B8" s="2">
        <v>10000</v>
      </c>
      <c r="G8" s="8" t="s">
        <v>5</v>
      </c>
      <c r="H8" s="8">
        <f>real_gas_dry_heating_value(A11:A23,B11:B23,C11:C23,B6,B7,B8, FALSE)</f>
        <v>1176.3490602687193</v>
      </c>
      <c r="I8" s="8"/>
      <c r="J8" s="8"/>
      <c r="K8" s="3" t="s">
        <v>11</v>
      </c>
      <c r="L8" s="13">
        <f>H17*B30</f>
        <v>2224.071224891255</v>
      </c>
    </row>
    <row r="9" spans="1:12" s="9" customFormat="1">
      <c r="D9" s="7" t="s">
        <v>62</v>
      </c>
      <c r="G9" s="8" t="s">
        <v>23</v>
      </c>
      <c r="H9" s="8">
        <f>compressibility_factor(A11:A23,B11:B23,C11:C23,B6,B7,B8)</f>
        <v>0.99671597507826781</v>
      </c>
      <c r="I9" s="8"/>
      <c r="K9" s="3" t="s">
        <v>12</v>
      </c>
      <c r="L9" s="13">
        <f>H18*B31</f>
        <v>3930.8137039047406</v>
      </c>
    </row>
    <row r="10" spans="1:12">
      <c r="A10" s="5" t="s">
        <v>21</v>
      </c>
      <c r="B10" s="5" t="s">
        <v>0</v>
      </c>
      <c r="C10" s="8" t="s">
        <v>27</v>
      </c>
      <c r="D10" s="8" t="s">
        <v>21</v>
      </c>
      <c r="E10" s="8" t="s">
        <v>70</v>
      </c>
      <c r="G10" s="8" t="s">
        <v>28</v>
      </c>
      <c r="H10" s="8">
        <f>plant_inlet_gas_energy($A$11:$A$23,$B$11:$B$23,$C$11:$C$23,$B$6,$B$7,$B$8)</f>
        <v>11763.471950923054</v>
      </c>
      <c r="I10" s="8"/>
      <c r="J10" s="8"/>
      <c r="K10" s="3" t="s">
        <v>13</v>
      </c>
      <c r="L10" s="13">
        <f>H19*B32</f>
        <v>1322.4132123726329</v>
      </c>
    </row>
    <row r="11" spans="1:12">
      <c r="A11" s="3" t="s">
        <v>8</v>
      </c>
      <c r="B11" s="2">
        <v>0.78755839096208191</v>
      </c>
      <c r="C11" s="8">
        <v>0</v>
      </c>
      <c r="D11" s="8" t="s">
        <v>17</v>
      </c>
      <c r="E11" s="8">
        <f>residue_gas_volume(A11:A23,B11:B23,C11:C23,B6,B7,B8,D11)</f>
        <v>255.55500566724572</v>
      </c>
      <c r="F11" s="8" t="s">
        <v>64</v>
      </c>
      <c r="G11" s="8" t="s">
        <v>39</v>
      </c>
      <c r="H11" s="8">
        <f>plant_inlet_gas_energy($A$11:$A$23,$B$11:$B$23,$C$11:$C$23,$B$6,$B$7,$B$8, FALSE)</f>
        <v>11763.449646346084</v>
      </c>
      <c r="I11" s="8"/>
      <c r="J11" s="8"/>
      <c r="K11" s="3" t="s">
        <v>14</v>
      </c>
      <c r="L11" s="13">
        <f>H20*B32</f>
        <v>808.08178309439143</v>
      </c>
    </row>
    <row r="12" spans="1:12">
      <c r="A12" s="3" t="s">
        <v>9</v>
      </c>
      <c r="B12" s="2">
        <v>9.1851222120211573E-2</v>
      </c>
      <c r="C12" s="10">
        <v>0.75</v>
      </c>
      <c r="D12" s="8" t="s">
        <v>20</v>
      </c>
      <c r="E12" s="8">
        <f>residue_gas_volume(A11:A23,B11:B23,C11:C23,B6,B7,B8,D12)</f>
        <v>0</v>
      </c>
      <c r="F12" s="8" t="s">
        <v>64</v>
      </c>
      <c r="I12" s="8"/>
      <c r="J12" s="8"/>
      <c r="K12" s="3" t="s">
        <v>15</v>
      </c>
      <c r="L12" s="13">
        <f>H21*B32</f>
        <v>949.82321206754693</v>
      </c>
    </row>
    <row r="13" spans="1:12">
      <c r="A13" s="3" t="s">
        <v>10</v>
      </c>
      <c r="B13" s="2">
        <v>4.7142559059514047E-2</v>
      </c>
      <c r="C13" s="10">
        <v>0.93</v>
      </c>
      <c r="D13" s="8" t="s">
        <v>58</v>
      </c>
      <c r="E13" s="10">
        <v>0</v>
      </c>
      <c r="F13" s="8" t="s">
        <v>65</v>
      </c>
      <c r="G13" s="7" t="s">
        <v>30</v>
      </c>
      <c r="I13" s="8"/>
      <c r="J13" s="8"/>
      <c r="K13" s="11" t="s">
        <v>33</v>
      </c>
      <c r="L13" s="13">
        <f>H29*B33</f>
        <v>27287.472986763136</v>
      </c>
    </row>
    <row r="14" spans="1:12">
      <c r="A14" s="3" t="s">
        <v>11</v>
      </c>
      <c r="B14" s="2">
        <v>7.65063365936229E-3</v>
      </c>
      <c r="C14" s="10">
        <v>0.98</v>
      </c>
      <c r="D14" s="8" t="s">
        <v>59</v>
      </c>
      <c r="E14" s="10">
        <v>0</v>
      </c>
      <c r="F14" s="8" t="s">
        <v>67</v>
      </c>
      <c r="G14" s="8" t="s">
        <v>26</v>
      </c>
      <c r="H14" s="8" t="s">
        <v>6</v>
      </c>
      <c r="I14" s="8" t="s">
        <v>7</v>
      </c>
      <c r="J14" s="8"/>
      <c r="K14" s="11" t="s">
        <v>72</v>
      </c>
      <c r="L14" s="13">
        <f>SUM(L6:L13)</f>
        <v>46350.38194965884</v>
      </c>
    </row>
    <row r="15" spans="1:12">
      <c r="A15" s="3" t="s">
        <v>12</v>
      </c>
      <c r="B15" s="2">
        <v>1.2361400108684568E-2</v>
      </c>
      <c r="C15" s="10">
        <v>0.98</v>
      </c>
      <c r="D15" s="8" t="s">
        <v>60</v>
      </c>
      <c r="E15" s="10">
        <v>0</v>
      </c>
      <c r="F15" s="8" t="s">
        <v>67</v>
      </c>
      <c r="G15" s="3" t="s">
        <v>9</v>
      </c>
      <c r="H15" s="8">
        <f>liquid_shrinkage_volume($A$11:$A$23,$B$11:$B$23,$C$11:$C$23,$B$6,$B$7,$B$8,G15)</f>
        <v>18436.671271903902</v>
      </c>
      <c r="I15" s="8">
        <f t="shared" ref="I15:I21" si="0">liquid_shrinkage_energy($A$11:$A$23,$B$11:$B$23,$C$11:$C$23,$B$6,$B$7,$B$8,G15)</f>
        <v>1214.9213268046515</v>
      </c>
      <c r="J15" s="8"/>
      <c r="K15" s="11" t="s">
        <v>50</v>
      </c>
      <c r="L15" s="13">
        <f>H11*B33</f>
        <v>37878.307861234389</v>
      </c>
    </row>
    <row r="16" spans="1:12">
      <c r="A16" s="3" t="s">
        <v>13</v>
      </c>
      <c r="B16" s="2">
        <v>3.5941403280014416E-3</v>
      </c>
      <c r="C16" s="10">
        <v>0.99</v>
      </c>
      <c r="D16" s="8" t="s">
        <v>80</v>
      </c>
      <c r="E16" s="10">
        <v>0</v>
      </c>
      <c r="F16" s="8" t="s">
        <v>6</v>
      </c>
      <c r="G16" s="3" t="s">
        <v>10</v>
      </c>
      <c r="H16" s="8">
        <f t="shared" ref="H16:H21" si="1">liquid_shrinkage_volume($A$11:$A$23,$B$11:$B$23,$C$11:$C$23,$B$6,$B$7,$B$8,G16)</f>
        <v>12087.338749331142</v>
      </c>
      <c r="I16" s="8">
        <f t="shared" si="0"/>
        <v>1098.4369088454675</v>
      </c>
      <c r="J16" s="8"/>
      <c r="K16" s="11" t="s">
        <v>52</v>
      </c>
      <c r="L16" s="18">
        <v>0.25</v>
      </c>
    </row>
    <row r="17" spans="1:12">
      <c r="A17" s="3" t="s">
        <v>14</v>
      </c>
      <c r="B17" s="2">
        <v>2.2158049594960339E-3</v>
      </c>
      <c r="C17" s="10">
        <v>0.99</v>
      </c>
      <c r="G17" s="3" t="s">
        <v>11</v>
      </c>
      <c r="H17" s="8">
        <f t="shared" si="1"/>
        <v>2455.3071407972593</v>
      </c>
      <c r="I17" s="8">
        <f t="shared" si="0"/>
        <v>242.88880359622809</v>
      </c>
      <c r="J17" s="8"/>
      <c r="K17" s="11" t="s">
        <v>53</v>
      </c>
      <c r="L17" s="18">
        <v>1</v>
      </c>
    </row>
    <row r="18" spans="1:12">
      <c r="A18" s="3" t="s">
        <v>15</v>
      </c>
      <c r="B18" s="2">
        <v>2.1634631100591194E-3</v>
      </c>
      <c r="C18" s="10">
        <v>0.99</v>
      </c>
      <c r="G18" s="3" t="s">
        <v>12</v>
      </c>
      <c r="H18" s="8">
        <f t="shared" si="1"/>
        <v>3821.919571474295</v>
      </c>
      <c r="I18" s="8">
        <f t="shared" si="0"/>
        <v>393.46661988327867</v>
      </c>
      <c r="J18" s="8"/>
      <c r="K18" s="9" t="s">
        <v>54</v>
      </c>
      <c r="L18" s="19">
        <v>1</v>
      </c>
    </row>
    <row r="19" spans="1:12">
      <c r="A19" s="3" t="s">
        <v>16</v>
      </c>
      <c r="B19" s="2">
        <v>3.4894566291276122E-6</v>
      </c>
      <c r="C19" s="8">
        <v>0</v>
      </c>
      <c r="G19" s="3" t="s">
        <v>13</v>
      </c>
      <c r="H19" s="8">
        <f t="shared" si="1"/>
        <v>1302.226103318982</v>
      </c>
      <c r="I19" s="8">
        <f t="shared" si="0"/>
        <v>141.78637812937077</v>
      </c>
      <c r="J19" s="8"/>
      <c r="K19" s="11"/>
      <c r="L19" s="13"/>
    </row>
    <row r="20" spans="1:12">
      <c r="A20" s="3" t="s">
        <v>17</v>
      </c>
      <c r="B20" s="2">
        <v>2.5568993449932582E-2</v>
      </c>
      <c r="C20" s="8">
        <v>0</v>
      </c>
      <c r="G20" s="3" t="s">
        <v>14</v>
      </c>
      <c r="H20" s="8">
        <f t="shared" si="1"/>
        <v>795.74612663923017</v>
      </c>
      <c r="I20" s="8">
        <f t="shared" si="0"/>
        <v>88.224373060491445</v>
      </c>
      <c r="J20" s="8"/>
      <c r="K20" s="12" t="s">
        <v>51</v>
      </c>
      <c r="L20" s="13"/>
    </row>
    <row r="21" spans="1:12">
      <c r="A21" s="3" t="s">
        <v>18</v>
      </c>
      <c r="B21" s="2">
        <v>1.988990278602739E-2</v>
      </c>
      <c r="C21" s="8">
        <v>0</v>
      </c>
      <c r="G21" s="3" t="s">
        <v>15</v>
      </c>
      <c r="H21" s="8">
        <f t="shared" si="1"/>
        <v>935.32382217617203</v>
      </c>
      <c r="I21" s="8">
        <f t="shared" si="0"/>
        <v>109.37704781998289</v>
      </c>
      <c r="J21" s="8"/>
      <c r="K21" s="11" t="s">
        <v>56</v>
      </c>
      <c r="L21" s="18">
        <v>0.01</v>
      </c>
    </row>
    <row r="22" spans="1:12">
      <c r="A22" s="4" t="s">
        <v>19</v>
      </c>
      <c r="B22" s="2">
        <v>0</v>
      </c>
      <c r="C22" s="8">
        <v>0</v>
      </c>
      <c r="I22" s="8"/>
      <c r="J22" s="8"/>
      <c r="K22" s="11" t="s">
        <v>75</v>
      </c>
      <c r="L22" s="13">
        <f>L21*H11</f>
        <v>117.63449646346083</v>
      </c>
    </row>
    <row r="23" spans="1:12">
      <c r="A23" s="3" t="s">
        <v>20</v>
      </c>
      <c r="B23" s="2">
        <v>0</v>
      </c>
      <c r="C23" s="8">
        <v>0</v>
      </c>
      <c r="G23" s="7" t="s">
        <v>46</v>
      </c>
      <c r="I23" s="8"/>
      <c r="J23" s="8"/>
      <c r="K23" s="11" t="s">
        <v>76</v>
      </c>
      <c r="L23" s="13">
        <f>L21*H30</f>
        <v>84.743481882066121</v>
      </c>
    </row>
    <row r="24" spans="1:12">
      <c r="A24" s="3" t="s">
        <v>3</v>
      </c>
      <c r="B24" s="1">
        <f>SUM(B11:B23)</f>
        <v>1</v>
      </c>
      <c r="G24" s="8" t="s">
        <v>4</v>
      </c>
      <c r="H24" s="8">
        <f>real_residue_gas_dry_heating_value(A11:A23,B11:B23,C11:C23,B6,B7,B8)</f>
        <v>983.77154037995615</v>
      </c>
      <c r="I24" s="8"/>
      <c r="J24" s="8"/>
      <c r="K24" s="11" t="s">
        <v>79</v>
      </c>
      <c r="L24" s="20">
        <v>0.47</v>
      </c>
    </row>
    <row r="25" spans="1:12">
      <c r="A25" s="3"/>
      <c r="B25" s="1"/>
      <c r="G25" s="8" t="s">
        <v>36</v>
      </c>
      <c r="H25" s="8">
        <f>H24/1000</f>
        <v>0.98377154037995618</v>
      </c>
      <c r="I25" s="8"/>
      <c r="J25" s="8"/>
      <c r="K25" s="11" t="s">
        <v>57</v>
      </c>
      <c r="L25" s="13">
        <f>MIN(L22:L23) + L24*H11</f>
        <v>5613.5648156647248</v>
      </c>
    </row>
    <row r="26" spans="1:12">
      <c r="G26" s="8" t="s">
        <v>5</v>
      </c>
      <c r="H26" s="8">
        <f>real_residue_gas_dry_heating_value(A11:A23,B11:B23,C11:C23,B6,B7,B8, FALSE)</f>
        <v>983.77293244904388</v>
      </c>
      <c r="I26" s="8"/>
      <c r="J26" s="8"/>
      <c r="K26" s="11"/>
      <c r="L26" s="13"/>
    </row>
    <row r="27" spans="1:12">
      <c r="A27" s="6" t="s">
        <v>55</v>
      </c>
      <c r="B27" s="1"/>
      <c r="G27" s="8" t="s">
        <v>23</v>
      </c>
      <c r="H27" s="8">
        <f>residue_compressibility_factor(A11:A23,B11:B23,C11:C23,B6,B7,B8)</f>
        <v>0.99785693171975354</v>
      </c>
      <c r="I27" s="8"/>
      <c r="J27" s="8"/>
      <c r="K27" s="12" t="s">
        <v>74</v>
      </c>
      <c r="L27" s="13"/>
    </row>
    <row r="28" spans="1:12">
      <c r="A28" s="3" t="s">
        <v>9</v>
      </c>
      <c r="B28" s="10">
        <v>0.10530200000000001</v>
      </c>
      <c r="C28" s="8" t="s">
        <v>34</v>
      </c>
      <c r="D28" s="8" t="s">
        <v>17</v>
      </c>
      <c r="E28" s="10">
        <v>0</v>
      </c>
      <c r="F28" s="8" t="s">
        <v>61</v>
      </c>
      <c r="G28" s="8" t="s">
        <v>31</v>
      </c>
      <c r="H28" s="8">
        <f>residue_gas_volume(A11:A23,B11:B23,C11:C23,B6,B7,B8)</f>
        <v>8597.6353607822639</v>
      </c>
      <c r="I28" s="8"/>
      <c r="J28" s="8"/>
      <c r="K28" s="11" t="s">
        <v>77</v>
      </c>
      <c r="L28" s="13">
        <f>(SUM(L6:L12)*L17 + L13*L18 - L25)*L16</f>
        <v>10184.20428349853</v>
      </c>
    </row>
    <row r="29" spans="1:12">
      <c r="A29" s="3" t="s">
        <v>10</v>
      </c>
      <c r="B29" s="10">
        <v>0.65244199999999997</v>
      </c>
      <c r="C29" s="8" t="s">
        <v>34</v>
      </c>
      <c r="D29" s="8" t="s">
        <v>20</v>
      </c>
      <c r="E29" s="10">
        <v>0</v>
      </c>
      <c r="F29" s="8" t="s">
        <v>61</v>
      </c>
      <c r="G29" s="8" t="s">
        <v>29</v>
      </c>
      <c r="H29" s="8">
        <f>residue_gas_energy($A$11:$A$23,$B$11:$B$23,$C$11:$C$23,$B$6,$B$7,$B$8)</f>
        <v>8474.3704927835824</v>
      </c>
      <c r="I29" s="8"/>
      <c r="J29" s="8"/>
      <c r="K29" s="11" t="s">
        <v>73</v>
      </c>
      <c r="L29" s="13">
        <f>L15*L16</f>
        <v>9469.5769653085972</v>
      </c>
    </row>
    <row r="30" spans="1:12">
      <c r="A30" s="3" t="s">
        <v>11</v>
      </c>
      <c r="B30" s="10">
        <v>0.90582200000000002</v>
      </c>
      <c r="C30" s="8" t="s">
        <v>34</v>
      </c>
      <c r="D30" s="8" t="s">
        <v>58</v>
      </c>
      <c r="E30" s="10">
        <v>0</v>
      </c>
      <c r="F30" s="8" t="s">
        <v>66</v>
      </c>
      <c r="G30" s="8" t="s">
        <v>38</v>
      </c>
      <c r="H30" s="8">
        <f>residue_gas_energy($A$11:$A$23,$B$11:$B$23,$C$11:$C$23,$B$6,$B$7,$B$8, FALSE)</f>
        <v>8474.3481882066117</v>
      </c>
      <c r="I30" s="8"/>
      <c r="J30" s="8"/>
      <c r="K30" s="11" t="s">
        <v>69</v>
      </c>
      <c r="L30" s="13">
        <f>SUMPRODUCT(E11:E16,E28:E33)</f>
        <v>0</v>
      </c>
    </row>
    <row r="31" spans="1:12">
      <c r="A31" s="3" t="s">
        <v>12</v>
      </c>
      <c r="B31" s="10">
        <v>1.028492</v>
      </c>
      <c r="C31" s="8" t="s">
        <v>34</v>
      </c>
      <c r="D31" s="8" t="s">
        <v>59</v>
      </c>
      <c r="E31" s="10">
        <v>0</v>
      </c>
      <c r="F31" s="8" t="s">
        <v>68</v>
      </c>
      <c r="I31" s="8"/>
      <c r="J31" s="8"/>
      <c r="K31" s="11"/>
      <c r="L31" s="13"/>
    </row>
    <row r="32" spans="1:12">
      <c r="A32" s="8" t="s">
        <v>32</v>
      </c>
      <c r="B32" s="10">
        <v>1.0155019999999999</v>
      </c>
      <c r="C32" s="8" t="s">
        <v>34</v>
      </c>
      <c r="D32" s="8" t="s">
        <v>60</v>
      </c>
      <c r="E32" s="10">
        <v>0</v>
      </c>
      <c r="F32" s="8" t="s">
        <v>68</v>
      </c>
      <c r="I32" s="8"/>
      <c r="J32" s="8"/>
      <c r="K32" s="12" t="s">
        <v>40</v>
      </c>
      <c r="L32" s="13"/>
    </row>
    <row r="33" spans="1:12">
      <c r="A33" s="8" t="s">
        <v>33</v>
      </c>
      <c r="B33" s="10">
        <v>3.22</v>
      </c>
      <c r="C33" s="8" t="s">
        <v>35</v>
      </c>
      <c r="D33" s="8" t="s">
        <v>80</v>
      </c>
      <c r="E33" s="10">
        <v>0</v>
      </c>
      <c r="F33" s="8" t="s">
        <v>34</v>
      </c>
      <c r="I33" s="8"/>
      <c r="J33" s="8"/>
      <c r="K33" s="11" t="s">
        <v>71</v>
      </c>
      <c r="L33" s="13"/>
    </row>
    <row r="34" spans="1:12">
      <c r="I34" s="8"/>
      <c r="J34" s="8"/>
      <c r="K34" s="11" t="s">
        <v>78</v>
      </c>
      <c r="L34" s="13"/>
    </row>
  </sheetData>
  <conditionalFormatting sqref="B24">
    <cfRule type="cellIs" dxfId="5" priority="5" operator="lessThan">
      <formula>1</formula>
    </cfRule>
    <cfRule type="cellIs" dxfId="4" priority="6" operator="greaterThan">
      <formula>1</formula>
    </cfRule>
    <cfRule type="cellIs" dxfId="3" priority="7" operator="between">
      <formula>0</formula>
      <formula>1</formula>
    </cfRule>
  </conditionalFormatting>
  <dataValidations disablePrompts="1" count="7">
    <dataValidation type="decimal" allowBlank="1" showInputMessage="1" showErrorMessage="1" errorTitle="Invalid Input" error="Value must be between 0.0 and 1.0" sqref="B11:B23" xr:uid="{00000000-0002-0000-0000-000000000000}">
      <formula1>0</formula1>
      <formula2>1</formula2>
    </dataValidation>
    <dataValidation type="decimal" operator="greaterThan" allowBlank="1" showInputMessage="1" showErrorMessage="1" error="Value must be greater than 0.0" sqref="B6 B8" xr:uid="{00000000-0002-0000-0000-000001000000}">
      <formula1>0</formula1>
    </dataValidation>
    <dataValidation type="decimal" operator="equal" allowBlank="1" showInputMessage="1" showErrorMessage="1" error="Value currently limited to 60.0 because virial expansion used to calculate compressibility factor is only valid at 60 F.  Future versions will enable Lee-Kesler correlation method." sqref="B7" xr:uid="{00000000-0002-0000-0000-000002000000}">
      <formula1>60</formula1>
    </dataValidation>
    <dataValidation type="decimal" allowBlank="1" showInputMessage="1" showErrorMessage="1" error="Value must be between 0.0 and 1.0" sqref="C11:C23" xr:uid="{00000000-0002-0000-0000-000003000000}">
      <formula1>0</formula1>
      <formula2>1</formula2>
    </dataValidation>
    <dataValidation type="decimal" operator="greaterThanOrEqual" allowBlank="1" showInputMessage="1" showErrorMessage="1" error="Must be greater than or equal to 0.0" sqref="B28:B33" xr:uid="{00000000-0002-0000-0000-000004000000}">
      <formula1>0</formula1>
    </dataValidation>
    <dataValidation type="decimal" allowBlank="1" showInputMessage="1" showErrorMessage="1" error="Value must be between 0% and 100%" sqref="L21 L16:L18" xr:uid="{00000000-0002-0000-0000-000005000000}">
      <formula1>0</formula1>
      <formula2>100</formula2>
    </dataValidation>
    <dataValidation type="decimal" operator="greaterThanOrEqual" allowBlank="1" showInputMessage="1" showErrorMessage="1" error="Value must be greater than or equal to 0.0" sqref="L24 E28:E33 E13:E16" xr:uid="{00000000-0002-0000-0000-000006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ormalizeProcessedGasMoleFractions">
                <anchor moveWithCells="1">
                  <from>
                    <xdr:col>1</xdr:col>
                    <xdr:colOff>0</xdr:colOff>
                    <xdr:row>24</xdr:row>
                    <xdr:rowOff>123825</xdr:rowOff>
                  </from>
                  <to>
                    <xdr:col>2</xdr:col>
                    <xdr:colOff>19050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D010C-8225-43CD-8684-F4874BD600D4}">
  <sheetPr codeName="Sheet2"/>
  <dimension ref="A1:L41"/>
  <sheetViews>
    <sheetView tabSelected="1" workbookViewId="0">
      <selection activeCell="F17" sqref="F17"/>
    </sheetView>
  </sheetViews>
  <sheetFormatPr defaultRowHeight="15"/>
  <cols>
    <col min="1" max="1" width="34.85546875" style="8" customWidth="1"/>
    <col min="2" max="2" width="13.28515625" style="8" bestFit="1" customWidth="1"/>
    <col min="3" max="3" width="7.5703125" style="8" customWidth="1"/>
    <col min="4" max="4" width="21.140625" style="8" customWidth="1"/>
    <col min="5" max="5" width="16.140625" style="8" customWidth="1"/>
    <col min="6" max="8" width="14.5703125" style="8" customWidth="1"/>
    <col min="9" max="9" width="40.140625" style="8" bestFit="1" customWidth="1"/>
    <col min="10" max="10" width="17.42578125" style="11" customWidth="1"/>
    <col min="11" max="11" width="27.140625" style="8" customWidth="1"/>
    <col min="12" max="12" width="24.7109375" style="8" customWidth="1"/>
    <col min="13" max="13" width="14" style="8" bestFit="1" customWidth="1"/>
    <col min="14" max="16384" width="9.140625" style="8"/>
  </cols>
  <sheetData>
    <row r="1" spans="1:12">
      <c r="A1" s="8" t="s">
        <v>43</v>
      </c>
      <c r="B1" s="10"/>
      <c r="I1" s="16" t="s">
        <v>81</v>
      </c>
      <c r="J1" s="8"/>
      <c r="K1" s="8" t="s">
        <v>49</v>
      </c>
      <c r="L1" s="14"/>
    </row>
    <row r="2" spans="1:12">
      <c r="A2" s="8" t="s">
        <v>63</v>
      </c>
      <c r="B2" s="10"/>
      <c r="I2" s="16" t="s">
        <v>44</v>
      </c>
      <c r="J2" s="8"/>
      <c r="K2" s="11" t="s">
        <v>47</v>
      </c>
      <c r="L2" s="15"/>
    </row>
    <row r="3" spans="1:12">
      <c r="A3" s="8" t="s">
        <v>41</v>
      </c>
      <c r="B3" s="10"/>
      <c r="I3" s="17" t="s">
        <v>45</v>
      </c>
      <c r="J3" s="8"/>
      <c r="K3" s="26"/>
      <c r="L3" s="31"/>
    </row>
    <row r="5" spans="1:12">
      <c r="A5" s="7" t="s">
        <v>83</v>
      </c>
      <c r="J5" s="6" t="s">
        <v>103</v>
      </c>
      <c r="K5" s="24"/>
      <c r="L5" s="25"/>
    </row>
    <row r="6" spans="1:12">
      <c r="A6" s="1" t="s">
        <v>1</v>
      </c>
      <c r="B6" s="2">
        <v>6000</v>
      </c>
      <c r="D6" s="8" t="s">
        <v>107</v>
      </c>
      <c r="J6" s="23" t="s">
        <v>104</v>
      </c>
      <c r="K6" s="3">
        <f t="array" ref="K6:K7">flash_t_p(A17:A30, B17:B30, E13:H13,E14:H14,E15:H15, E16:H16, B8, B9, B10, B11, E7:E10,B12,B13)</f>
        <v>0.14538106683161678</v>
      </c>
      <c r="L6" s="25"/>
    </row>
    <row r="7" spans="1:12">
      <c r="A7" s="1" t="s">
        <v>2</v>
      </c>
      <c r="B7" s="2">
        <v>254</v>
      </c>
      <c r="D7" s="1" t="s">
        <v>85</v>
      </c>
      <c r="E7" s="2">
        <v>0</v>
      </c>
      <c r="J7" s="23" t="s">
        <v>119</v>
      </c>
      <c r="K7" s="3">
        <v>0.25293175002811885</v>
      </c>
      <c r="L7" s="25"/>
    </row>
    <row r="8" spans="1:12">
      <c r="A8" s="1" t="s">
        <v>82</v>
      </c>
      <c r="B8" s="2">
        <v>0.17810000000000001</v>
      </c>
      <c r="D8" s="1" t="s">
        <v>86</v>
      </c>
      <c r="E8" s="2">
        <v>0</v>
      </c>
      <c r="J8" s="23"/>
      <c r="K8" s="3"/>
      <c r="L8" s="25"/>
    </row>
    <row r="9" spans="1:12">
      <c r="A9" s="1" t="s">
        <v>100</v>
      </c>
      <c r="B9" s="2">
        <v>180.64</v>
      </c>
      <c r="D9" s="30" t="s">
        <v>105</v>
      </c>
      <c r="E9" s="2">
        <v>0</v>
      </c>
      <c r="J9" s="23"/>
      <c r="K9" s="3"/>
      <c r="L9" s="25"/>
    </row>
    <row r="10" spans="1:12">
      <c r="A10" s="1" t="s">
        <v>101</v>
      </c>
      <c r="B10" s="2">
        <v>0.82199999999999995</v>
      </c>
      <c r="D10" s="30" t="s">
        <v>106</v>
      </c>
      <c r="E10" s="2">
        <v>0</v>
      </c>
      <c r="J10" s="23"/>
      <c r="K10" s="3"/>
      <c r="L10" s="25"/>
    </row>
    <row r="11" spans="1:12">
      <c r="A11" s="1" t="s">
        <v>102</v>
      </c>
      <c r="B11" s="2">
        <v>0</v>
      </c>
      <c r="I11" s="23"/>
      <c r="J11" s="23"/>
      <c r="K11" s="3"/>
      <c r="L11" s="25"/>
    </row>
    <row r="12" spans="1:12">
      <c r="A12" s="8" t="s">
        <v>117</v>
      </c>
      <c r="B12" s="10">
        <v>14.65</v>
      </c>
      <c r="D12" s="9" t="s">
        <v>84</v>
      </c>
      <c r="E12" s="8" t="s">
        <v>109</v>
      </c>
      <c r="F12" s="8" t="s">
        <v>110</v>
      </c>
      <c r="G12" s="8" t="s">
        <v>111</v>
      </c>
      <c r="H12" s="8" t="s">
        <v>112</v>
      </c>
      <c r="I12" s="23"/>
      <c r="J12" s="23"/>
      <c r="K12" s="3"/>
      <c r="L12" s="25"/>
    </row>
    <row r="13" spans="1:12">
      <c r="A13" s="8" t="s">
        <v>118</v>
      </c>
      <c r="B13" s="10">
        <v>60</v>
      </c>
      <c r="D13" s="1" t="s">
        <v>113</v>
      </c>
      <c r="E13" s="1">
        <f>B6</f>
        <v>6000</v>
      </c>
      <c r="F13" s="1">
        <f t="shared" ref="F13:H14" si="0">E15</f>
        <v>500</v>
      </c>
      <c r="G13" s="1">
        <f t="shared" si="0"/>
        <v>14.65</v>
      </c>
      <c r="H13" s="1">
        <f t="shared" si="0"/>
        <v>0</v>
      </c>
      <c r="I13" s="23"/>
      <c r="J13" s="23"/>
      <c r="K13" s="3"/>
      <c r="L13" s="25"/>
    </row>
    <row r="14" spans="1:12">
      <c r="A14" s="1"/>
      <c r="B14" s="1"/>
      <c r="D14" s="1" t="s">
        <v>114</v>
      </c>
      <c r="E14" s="1">
        <f>B7</f>
        <v>254</v>
      </c>
      <c r="F14" s="1">
        <f t="shared" si="0"/>
        <v>60</v>
      </c>
      <c r="G14" s="1">
        <f t="shared" si="0"/>
        <v>0</v>
      </c>
      <c r="H14" s="1">
        <f t="shared" si="0"/>
        <v>0</v>
      </c>
      <c r="I14" s="23"/>
      <c r="J14" s="23"/>
      <c r="K14" s="3"/>
      <c r="L14" s="25"/>
    </row>
    <row r="15" spans="1:12" s="9" customFormat="1">
      <c r="C15" s="21"/>
      <c r="D15" s="1" t="s">
        <v>115</v>
      </c>
      <c r="E15" s="2">
        <v>500</v>
      </c>
      <c r="F15" s="2">
        <v>14.65</v>
      </c>
      <c r="G15" s="2">
        <v>0</v>
      </c>
      <c r="H15" s="2">
        <v>0</v>
      </c>
      <c r="I15" s="23"/>
      <c r="J15" s="23"/>
      <c r="K15" s="3"/>
      <c r="L15" s="25"/>
    </row>
    <row r="16" spans="1:12">
      <c r="A16" s="5" t="s">
        <v>21</v>
      </c>
      <c r="B16" s="5"/>
      <c r="C16" s="23"/>
      <c r="D16" s="1" t="s">
        <v>116</v>
      </c>
      <c r="E16" s="2">
        <v>60</v>
      </c>
      <c r="F16" s="2">
        <v>0</v>
      </c>
      <c r="G16" s="2">
        <v>0</v>
      </c>
      <c r="H16" s="2">
        <v>0</v>
      </c>
      <c r="I16" s="23"/>
      <c r="J16" s="23"/>
      <c r="K16" s="3"/>
      <c r="L16" s="25"/>
    </row>
    <row r="17" spans="1:12">
      <c r="A17" s="3" t="s">
        <v>87</v>
      </c>
      <c r="B17" s="2">
        <v>0.67199448226227254</v>
      </c>
      <c r="C17" s="23"/>
      <c r="D17" s="23"/>
      <c r="E17" s="23"/>
      <c r="F17" s="23"/>
      <c r="G17" s="23"/>
      <c r="H17" s="23"/>
      <c r="I17" s="23"/>
      <c r="J17" s="23"/>
      <c r="K17" s="3"/>
      <c r="L17" s="25"/>
    </row>
    <row r="18" spans="1:12">
      <c r="A18" s="3" t="s">
        <v>88</v>
      </c>
      <c r="B18" s="2">
        <v>0.11565258244119911</v>
      </c>
      <c r="C18" s="23"/>
      <c r="D18" s="23"/>
      <c r="E18" s="23"/>
      <c r="F18" s="23"/>
      <c r="G18" s="23"/>
      <c r="H18" s="23"/>
      <c r="I18" s="23"/>
      <c r="J18" s="23"/>
      <c r="K18" s="3"/>
      <c r="L18" s="25"/>
    </row>
    <row r="19" spans="1:12">
      <c r="A19" s="3" t="s">
        <v>89</v>
      </c>
      <c r="B19" s="2">
        <v>5.9895442868423944E-2</v>
      </c>
      <c r="C19" s="23"/>
      <c r="D19" s="23"/>
      <c r="E19" s="23"/>
      <c r="F19" s="23"/>
      <c r="G19" s="23"/>
      <c r="H19" s="23"/>
      <c r="I19" s="22"/>
      <c r="J19" s="23"/>
      <c r="K19" s="26"/>
      <c r="L19" s="25"/>
    </row>
    <row r="20" spans="1:12">
      <c r="A20" s="3" t="s">
        <v>90</v>
      </c>
      <c r="B20" s="2">
        <v>8.0467008526504125E-3</v>
      </c>
      <c r="C20" s="23"/>
      <c r="D20" s="23"/>
      <c r="E20" s="23"/>
      <c r="F20" s="23"/>
      <c r="G20" s="23"/>
      <c r="H20" s="23"/>
      <c r="I20" s="23"/>
      <c r="J20" s="23"/>
      <c r="K20" s="26"/>
      <c r="L20" s="25"/>
    </row>
    <row r="21" spans="1:12">
      <c r="A21" s="3" t="s">
        <v>91</v>
      </c>
      <c r="B21" s="2">
        <v>1.9312082046360993E-2</v>
      </c>
      <c r="C21" s="23"/>
      <c r="D21" s="23"/>
      <c r="E21" s="23"/>
      <c r="F21" s="23"/>
      <c r="G21" s="23"/>
      <c r="H21" s="23"/>
      <c r="I21" s="3"/>
      <c r="J21" s="23"/>
      <c r="K21" s="26"/>
      <c r="L21" s="25"/>
    </row>
    <row r="22" spans="1:12">
      <c r="A22" s="3" t="s">
        <v>92</v>
      </c>
      <c r="B22" s="2">
        <v>6.8471926510130848E-3</v>
      </c>
      <c r="C22" s="23"/>
      <c r="D22" s="23"/>
      <c r="E22" s="23"/>
      <c r="F22" s="23"/>
      <c r="G22" s="23"/>
      <c r="H22" s="23"/>
      <c r="I22" s="3"/>
      <c r="J22" s="23"/>
      <c r="K22" s="26"/>
      <c r="L22" s="27"/>
    </row>
    <row r="23" spans="1:12">
      <c r="A23" s="3" t="s">
        <v>93</v>
      </c>
      <c r="B23" s="2">
        <v>7.5269139652742378E-3</v>
      </c>
      <c r="C23" s="23"/>
      <c r="D23" s="23"/>
      <c r="E23" s="23"/>
      <c r="F23" s="23"/>
      <c r="G23" s="23"/>
      <c r="H23" s="23"/>
      <c r="I23" s="3"/>
      <c r="J23" s="23"/>
      <c r="K23" s="26"/>
      <c r="L23" s="27"/>
    </row>
    <row r="24" spans="1:12">
      <c r="A24" s="3" t="s">
        <v>94</v>
      </c>
      <c r="B24" s="2">
        <v>8.8663647904359197E-3</v>
      </c>
      <c r="C24" s="23"/>
      <c r="D24" s="23"/>
      <c r="E24" s="23"/>
      <c r="F24" s="23"/>
      <c r="G24" s="23"/>
      <c r="H24" s="23"/>
      <c r="I24" s="3"/>
      <c r="J24" s="23"/>
      <c r="K24" s="21"/>
      <c r="L24" s="28"/>
    </row>
    <row r="25" spans="1:12">
      <c r="A25" s="3" t="s">
        <v>99</v>
      </c>
      <c r="B25" s="2">
        <v>8.9913135614398093E-2</v>
      </c>
      <c r="C25" s="23"/>
      <c r="D25" s="23"/>
      <c r="E25" s="23"/>
      <c r="F25" s="23"/>
      <c r="G25" s="23"/>
      <c r="H25" s="23"/>
      <c r="I25" s="22"/>
      <c r="J25" s="23"/>
      <c r="K25" s="26"/>
      <c r="L25" s="25"/>
    </row>
    <row r="26" spans="1:12">
      <c r="A26" s="3" t="s">
        <v>95</v>
      </c>
      <c r="B26" s="2">
        <v>0</v>
      </c>
      <c r="C26" s="23"/>
      <c r="D26" s="23"/>
      <c r="E26" s="23"/>
      <c r="F26" s="23"/>
      <c r="G26" s="23"/>
      <c r="H26" s="23"/>
      <c r="I26" s="3"/>
      <c r="J26" s="23"/>
      <c r="K26" s="26"/>
      <c r="L26" s="25"/>
    </row>
    <row r="27" spans="1:12">
      <c r="A27" s="3" t="s">
        <v>96</v>
      </c>
      <c r="B27" s="2">
        <v>8.2566147879369455E-3</v>
      </c>
      <c r="C27" s="23"/>
      <c r="D27" s="23"/>
      <c r="E27" s="23"/>
      <c r="F27" s="23"/>
      <c r="G27" s="23"/>
      <c r="H27" s="23"/>
      <c r="I27" s="3"/>
      <c r="J27" s="23"/>
      <c r="K27" s="24"/>
      <c r="L27" s="25"/>
    </row>
    <row r="28" spans="1:12">
      <c r="A28" s="3" t="s">
        <v>97</v>
      </c>
      <c r="B28" s="2">
        <v>3.688487720034786E-3</v>
      </c>
      <c r="C28" s="23"/>
      <c r="D28" s="23"/>
      <c r="E28" s="23"/>
      <c r="F28" s="23"/>
      <c r="G28" s="23"/>
      <c r="H28" s="23"/>
      <c r="I28" s="3"/>
      <c r="J28" s="23"/>
      <c r="K28" s="26"/>
      <c r="L28" s="27"/>
    </row>
    <row r="29" spans="1:12">
      <c r="A29" s="4" t="s">
        <v>98</v>
      </c>
      <c r="B29" s="2">
        <v>0</v>
      </c>
      <c r="C29" s="23"/>
      <c r="D29" s="23"/>
      <c r="E29" s="23"/>
      <c r="F29" s="23"/>
      <c r="G29" s="23"/>
      <c r="H29" s="23"/>
      <c r="I29" s="23"/>
      <c r="J29" s="23"/>
      <c r="K29" s="26"/>
      <c r="L29" s="25"/>
    </row>
    <row r="30" spans="1:12">
      <c r="A30" s="3" t="s">
        <v>108</v>
      </c>
      <c r="B30" s="2">
        <v>0</v>
      </c>
      <c r="C30" s="23"/>
      <c r="D30" s="23"/>
      <c r="E30" s="23"/>
      <c r="F30" s="23"/>
      <c r="G30" s="23"/>
      <c r="H30" s="23"/>
      <c r="I30" s="22"/>
      <c r="J30" s="23"/>
      <c r="K30" s="26"/>
      <c r="L30" s="25"/>
    </row>
    <row r="31" spans="1:12">
      <c r="A31" s="3" t="s">
        <v>3</v>
      </c>
      <c r="B31" s="1">
        <f>SUM(B17:B30)</f>
        <v>1</v>
      </c>
      <c r="I31" s="23"/>
      <c r="J31" s="23"/>
      <c r="K31" s="26"/>
      <c r="L31" s="29"/>
    </row>
    <row r="32" spans="1:12">
      <c r="A32" s="3"/>
      <c r="B32" s="1"/>
      <c r="I32" s="23"/>
      <c r="J32" s="23"/>
      <c r="K32" s="26"/>
      <c r="L32" s="25"/>
    </row>
    <row r="33" spans="1:12">
      <c r="I33" s="23"/>
      <c r="J33" s="23"/>
      <c r="K33" s="26"/>
      <c r="L33" s="25"/>
    </row>
    <row r="34" spans="1:12">
      <c r="A34" s="6"/>
      <c r="B34" s="1"/>
      <c r="C34" s="23"/>
      <c r="D34" s="23"/>
      <c r="E34" s="23"/>
      <c r="F34" s="23"/>
      <c r="G34" s="23"/>
      <c r="H34" s="23"/>
      <c r="I34" s="23"/>
      <c r="J34" s="23"/>
      <c r="K34" s="24"/>
      <c r="L34" s="25"/>
    </row>
    <row r="35" spans="1:12">
      <c r="A35" s="3"/>
      <c r="B35" s="23"/>
      <c r="C35" s="23"/>
      <c r="D35" s="23"/>
      <c r="E35" s="23"/>
      <c r="F35" s="23"/>
      <c r="G35" s="23"/>
      <c r="H35" s="23"/>
      <c r="I35" s="23"/>
      <c r="J35" s="23"/>
      <c r="K35" s="26"/>
      <c r="L35" s="25"/>
    </row>
    <row r="36" spans="1:12">
      <c r="A36" s="3"/>
      <c r="B36" s="23"/>
      <c r="C36" s="23"/>
      <c r="D36" s="23"/>
      <c r="E36" s="23"/>
      <c r="F36" s="23"/>
      <c r="G36" s="23"/>
      <c r="H36" s="23"/>
      <c r="I36" s="23"/>
      <c r="J36" s="23"/>
      <c r="K36" s="26"/>
      <c r="L36" s="25"/>
    </row>
    <row r="37" spans="1:12">
      <c r="A37" s="3"/>
      <c r="B37" s="23"/>
      <c r="C37" s="23"/>
      <c r="D37" s="23"/>
      <c r="E37" s="23"/>
      <c r="F37" s="23"/>
      <c r="G37" s="23"/>
      <c r="H37" s="23"/>
      <c r="I37" s="23"/>
      <c r="J37" s="23"/>
      <c r="K37" s="26"/>
      <c r="L37" s="25"/>
    </row>
    <row r="38" spans="1:12">
      <c r="A38" s="3"/>
      <c r="B38" s="23"/>
      <c r="C38" s="23"/>
      <c r="D38" s="23"/>
      <c r="E38" s="23"/>
      <c r="F38" s="23"/>
      <c r="G38" s="23"/>
      <c r="H38" s="23"/>
      <c r="J38" s="8"/>
      <c r="K38" s="11"/>
      <c r="L38" s="13"/>
    </row>
    <row r="39" spans="1:12">
      <c r="A39" s="23"/>
      <c r="B39" s="23"/>
      <c r="C39" s="23"/>
      <c r="D39" s="23"/>
      <c r="E39" s="23"/>
      <c r="F39" s="23"/>
      <c r="G39" s="23"/>
      <c r="H39" s="23"/>
      <c r="J39" s="8"/>
      <c r="K39" s="12"/>
      <c r="L39" s="13"/>
    </row>
    <row r="40" spans="1:12">
      <c r="A40" s="23"/>
      <c r="B40" s="23"/>
      <c r="C40" s="23"/>
      <c r="D40" s="23"/>
      <c r="E40" s="23"/>
      <c r="F40" s="23"/>
      <c r="G40" s="23"/>
      <c r="H40" s="23"/>
      <c r="J40" s="8"/>
      <c r="K40" s="11"/>
      <c r="L40" s="13"/>
    </row>
    <row r="41" spans="1:12">
      <c r="J41" s="8"/>
      <c r="K41" s="11"/>
      <c r="L41" s="13"/>
    </row>
  </sheetData>
  <conditionalFormatting sqref="B31">
    <cfRule type="cellIs" dxfId="2" priority="1" operator="lessThan">
      <formula>1</formula>
    </cfRule>
    <cfRule type="cellIs" dxfId="1" priority="2" operator="greaterThan">
      <formula>1</formula>
    </cfRule>
    <cfRule type="cellIs" dxfId="0" priority="3" operator="between">
      <formula>0</formula>
      <formula>1</formula>
    </cfRule>
  </conditionalFormatting>
  <dataValidations count="11">
    <dataValidation type="decimal" operator="greaterThanOrEqual" allowBlank="1" showInputMessage="1" showErrorMessage="1" error="Value must be greater than or equal to 0.0" sqref="L31 E35:E40 E19:E22" xr:uid="{5FEE5F04-78F5-4CCD-9320-F2FFB7BFE2A4}">
      <formula1>0</formula1>
    </dataValidation>
    <dataValidation type="decimal" allowBlank="1" showInputMessage="1" showErrorMessage="1" error="Value must be between 0% and 100%" sqref="L28 L22:L25" xr:uid="{2A00CA77-892D-4D5E-9900-8B5C72C04A04}">
      <formula1>0</formula1>
      <formula2>100</formula2>
    </dataValidation>
    <dataValidation type="decimal" operator="greaterThanOrEqual" allowBlank="1" showInputMessage="1" showErrorMessage="1" error="Must be greater than or equal to 0.0" sqref="B35:B40" xr:uid="{97F0EA7A-3838-427E-A86E-EB5323F87159}">
      <formula1>0</formula1>
    </dataValidation>
    <dataValidation type="decimal" operator="greaterThan" allowBlank="1" showInputMessage="1" showErrorMessage="1" error="Value must be greater than 0.0" sqref="B6 B8:B10 B14 E13 E15" xr:uid="{6225C209-C88A-4D1B-8A2B-B03789EA43E2}">
      <formula1>0</formula1>
    </dataValidation>
    <dataValidation type="decimal" allowBlank="1" showInputMessage="1" showErrorMessage="1" error="Value must be between 0.0 and 1.0" sqref="C17:C30" xr:uid="{A909E951-8666-4575-99E1-F02EA5AD4AF1}">
      <formula1>0</formula1>
      <formula2>1</formula2>
    </dataValidation>
    <dataValidation type="decimal" allowBlank="1" showInputMessage="1" showErrorMessage="1" errorTitle="Invalid Input" error="Value must be between 0.0 and 1.0" sqref="B17:B30" xr:uid="{B5E177D6-A5A8-46D3-AF58-EC67B88EF6EE}">
      <formula1>0</formula1>
      <formula2>1</formula2>
    </dataValidation>
    <dataValidation type="decimal" operator="greaterThan" allowBlank="1" showInputMessage="1" showErrorMessage="1" sqref="B7 E14 E16 B13" xr:uid="{37FF08F8-8F8F-49FC-A376-45A300A5118D}">
      <formula1>-459.67</formula1>
    </dataValidation>
    <dataValidation type="decimal" operator="greaterThan" allowBlank="1" showInputMessage="1" showErrorMessage="1" error="Value must be greater than 0.0" sqref="B11 E7:E8" xr:uid="{95050B38-E192-44AF-978C-4B958BCC81FC}">
      <formula1>-459.67</formula1>
    </dataValidation>
    <dataValidation type="decimal" operator="greaterThanOrEqual" allowBlank="1" showInputMessage="1" showErrorMessage="1" error="Value must be greater than 0.0" sqref="E9:E10" xr:uid="{1FD366FF-9FFA-4A61-997E-E6B720FA1B74}">
      <formula1>0</formula1>
    </dataValidation>
    <dataValidation type="decimal" operator="greaterThanOrEqual" allowBlank="1" showInputMessage="1" showErrorMessage="1" prompt="Value must be greater than or equal to zero.  Zero indicates no flash stage." sqref="F13:H16" xr:uid="{7A818C42-CD33-4203-9AB2-026DC4AF2160}">
      <formula1>0</formula1>
    </dataValidation>
    <dataValidation type="decimal" operator="greaterThan" allowBlank="1" showInputMessage="1" showErrorMessage="1" sqref="B12" xr:uid="{C2AF8BAC-81A2-4AF6-A96C-51B12B962918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ormalizeCrudeOilFlashMoleFractions">
                <anchor moveWithCells="1">
                  <from>
                    <xdr:col>1</xdr:col>
                    <xdr:colOff>0</xdr:colOff>
                    <xdr:row>31</xdr:row>
                    <xdr:rowOff>123825</xdr:rowOff>
                  </from>
                  <to>
                    <xdr:col>2</xdr:col>
                    <xdr:colOff>19050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 Gas</vt:lpstr>
      <vt:lpstr>Crude Oil Flash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Ortiz</dc:creator>
  <cp:lastModifiedBy>Tom Ortiz</cp:lastModifiedBy>
  <dcterms:created xsi:type="dcterms:W3CDTF">2018-06-15T18:55:59Z</dcterms:created>
  <dcterms:modified xsi:type="dcterms:W3CDTF">2019-07-19T15:43:59Z</dcterms:modified>
</cp:coreProperties>
</file>